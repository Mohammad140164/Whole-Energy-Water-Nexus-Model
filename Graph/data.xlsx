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Data centre/Energy-Water/Visualisation/"/>
    </mc:Choice>
  </mc:AlternateContent>
  <xr:revisionPtr revIDLastSave="0" documentId="8_{42542FFD-66B3-40E6-9418-2AB8181DFD34}" xr6:coauthVersionLast="47" xr6:coauthVersionMax="47" xr10:uidLastSave="{00000000-0000-0000-0000-000000000000}"/>
  <bookViews>
    <workbookView xWindow="-108" yWindow="-108" windowWidth="23256" windowHeight="13896" xr2:uid="{F1636747-7670-4CA7-AB6E-95E0AFD3C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D11" i="1"/>
  <c r="B11" i="1"/>
  <c r="M8" i="1"/>
  <c r="N8" i="1"/>
  <c r="L8" i="1"/>
  <c r="C24" i="1"/>
  <c r="D24" i="1"/>
  <c r="E24" i="1"/>
  <c r="B24" i="1"/>
  <c r="F24" i="1"/>
  <c r="H16" i="1"/>
  <c r="H18" i="1"/>
  <c r="H19" i="1"/>
  <c r="H20" i="1"/>
  <c r="H21" i="1"/>
  <c r="H22" i="1"/>
  <c r="H23" i="1"/>
  <c r="H15" i="1"/>
  <c r="H24" i="1" s="1"/>
  <c r="G16" i="1"/>
  <c r="G17" i="1"/>
  <c r="G18" i="1"/>
  <c r="G19" i="1"/>
  <c r="G20" i="1"/>
  <c r="G21" i="1"/>
  <c r="G22" i="1"/>
  <c r="G23" i="1"/>
  <c r="G24" i="1" s="1"/>
  <c r="G15" i="1"/>
  <c r="F16" i="1"/>
  <c r="F17" i="1"/>
  <c r="F18" i="1"/>
  <c r="F19" i="1"/>
  <c r="F20" i="1"/>
  <c r="F21" i="1"/>
  <c r="F22" i="1"/>
  <c r="F23" i="1"/>
  <c r="F15" i="1"/>
  <c r="I8" i="1"/>
  <c r="J8" i="1"/>
  <c r="H8" i="1"/>
  <c r="C9" i="1"/>
  <c r="D9" i="1"/>
  <c r="B9" i="1"/>
</calcChain>
</file>

<file path=xl/sharedStrings.xml><?xml version="1.0" encoding="utf-8"?>
<sst xmlns="http://schemas.openxmlformats.org/spreadsheetml/2006/main" count="30" uniqueCount="17">
  <si>
    <t>Nuclear</t>
  </si>
  <si>
    <t>CCGT</t>
  </si>
  <si>
    <t>CCGTCCS</t>
  </si>
  <si>
    <t>H2CCGT</t>
  </si>
  <si>
    <t>BECCS</t>
  </si>
  <si>
    <t>Air</t>
  </si>
  <si>
    <t>Water</t>
  </si>
  <si>
    <t>D2C</t>
  </si>
  <si>
    <t>Electricity sector (billion litres)</t>
  </si>
  <si>
    <t>Hydrogen Sector</t>
  </si>
  <si>
    <t>water</t>
  </si>
  <si>
    <t>SMRCCS</t>
  </si>
  <si>
    <t>ATRCCS</t>
  </si>
  <si>
    <t>BGCCS</t>
  </si>
  <si>
    <t>WE</t>
  </si>
  <si>
    <t>Without</t>
  </si>
  <si>
    <t>BECCGT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</si>
</sst>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1F37C-BA66-4547-8041-7B8989B3A137}">
  <dimension ref="A2:N24"/>
  <sheetViews>
    <sheetView tabSelected="1" workbookViewId="0">
      <selection activeCell="H15" sqref="H15:H18"/>
    </sheetView>
  </sheetViews>
  <sheetFormatPr defaultRowHeight="15" x14ac:dyDescent="0.25"/>
  <sheetData>
    <row r="2" spans="1:14" x14ac:dyDescent="0.25">
      <c r="A2" s="1" t="s">
        <v>8</v>
      </c>
      <c r="B2" s="1"/>
      <c r="C2" s="1"/>
      <c r="D2" s="1"/>
      <c r="G2" s="1" t="s">
        <v>9</v>
      </c>
      <c r="H2" s="1"/>
      <c r="I2" s="1"/>
      <c r="J2" s="1"/>
    </row>
    <row r="3" spans="1:14" x14ac:dyDescent="0.25">
      <c r="B3" t="s">
        <v>5</v>
      </c>
      <c r="C3" t="s">
        <v>6</v>
      </c>
      <c r="D3" t="s">
        <v>7</v>
      </c>
      <c r="H3" t="s">
        <v>5</v>
      </c>
      <c r="I3" t="s">
        <v>10</v>
      </c>
      <c r="J3" t="s">
        <v>7</v>
      </c>
    </row>
    <row r="4" spans="1:14" x14ac:dyDescent="0.25">
      <c r="A4" t="s">
        <v>0</v>
      </c>
      <c r="B4">
        <v>128</v>
      </c>
      <c r="C4">
        <v>131</v>
      </c>
      <c r="D4">
        <v>120</v>
      </c>
      <c r="G4" t="s">
        <v>11</v>
      </c>
      <c r="H4">
        <v>-3</v>
      </c>
      <c r="I4">
        <v>7</v>
      </c>
      <c r="J4">
        <v>-3</v>
      </c>
    </row>
    <row r="5" spans="1:14" x14ac:dyDescent="0.25">
      <c r="A5" t="s">
        <v>1</v>
      </c>
      <c r="B5">
        <v>-1.7</v>
      </c>
      <c r="C5">
        <v>-1.5</v>
      </c>
      <c r="D5">
        <v>0</v>
      </c>
      <c r="G5" t="s">
        <v>12</v>
      </c>
      <c r="H5">
        <v>53</v>
      </c>
      <c r="I5">
        <v>36</v>
      </c>
      <c r="J5">
        <v>51</v>
      </c>
    </row>
    <row r="6" spans="1:14" x14ac:dyDescent="0.25">
      <c r="A6" t="s">
        <v>2</v>
      </c>
      <c r="B6">
        <v>23</v>
      </c>
      <c r="C6">
        <v>21</v>
      </c>
      <c r="D6">
        <v>20</v>
      </c>
      <c r="G6" t="s">
        <v>13</v>
      </c>
      <c r="H6">
        <v>-2</v>
      </c>
      <c r="I6">
        <v>4</v>
      </c>
      <c r="J6">
        <v>1</v>
      </c>
    </row>
    <row r="7" spans="1:14" x14ac:dyDescent="0.25">
      <c r="A7" t="s">
        <v>3</v>
      </c>
      <c r="B7">
        <v>1</v>
      </c>
      <c r="C7">
        <v>0</v>
      </c>
      <c r="D7">
        <v>0</v>
      </c>
      <c r="G7" t="s">
        <v>14</v>
      </c>
      <c r="H7">
        <v>-5</v>
      </c>
      <c r="I7">
        <v>0</v>
      </c>
      <c r="J7">
        <v>1</v>
      </c>
    </row>
    <row r="8" spans="1:14" x14ac:dyDescent="0.25">
      <c r="A8" t="s">
        <v>4</v>
      </c>
      <c r="B8">
        <v>0.5</v>
      </c>
      <c r="C8">
        <v>1</v>
      </c>
      <c r="D8">
        <v>0</v>
      </c>
      <c r="H8">
        <f>SUM(H4:H7)</f>
        <v>43</v>
      </c>
      <c r="I8">
        <f t="shared" ref="I8:J8" si="0">SUM(I4:I7)</f>
        <v>47</v>
      </c>
      <c r="J8">
        <f t="shared" si="0"/>
        <v>50</v>
      </c>
      <c r="L8">
        <f>B9+H8</f>
        <v>193.8</v>
      </c>
      <c r="M8">
        <f t="shared" ref="M8:N8" si="1">C9+I8</f>
        <v>198.5</v>
      </c>
      <c r="N8">
        <f t="shared" si="1"/>
        <v>190</v>
      </c>
    </row>
    <row r="9" spans="1:14" x14ac:dyDescent="0.25">
      <c r="B9">
        <f>SUM(B4:B8)</f>
        <v>150.80000000000001</v>
      </c>
      <c r="C9">
        <f t="shared" ref="C9:D9" si="2">SUM(C4:C8)</f>
        <v>151.5</v>
      </c>
      <c r="D9">
        <f t="shared" si="2"/>
        <v>140</v>
      </c>
    </row>
    <row r="11" spans="1:14" x14ac:dyDescent="0.25">
      <c r="B11">
        <f>B6/B9</f>
        <v>0.15251989389920423</v>
      </c>
      <c r="C11">
        <f t="shared" ref="C11:D11" si="3">C6/C9</f>
        <v>0.13861386138613863</v>
      </c>
      <c r="D11">
        <f t="shared" si="3"/>
        <v>0.14285714285714285</v>
      </c>
    </row>
    <row r="14" spans="1:14" x14ac:dyDescent="0.25">
      <c r="B14" t="s">
        <v>15</v>
      </c>
      <c r="C14" t="s">
        <v>5</v>
      </c>
      <c r="D14" t="s">
        <v>6</v>
      </c>
      <c r="E14" t="s">
        <v>7</v>
      </c>
    </row>
    <row r="15" spans="1:14" x14ac:dyDescent="0.25">
      <c r="A15" t="s">
        <v>0</v>
      </c>
      <c r="B15">
        <v>309</v>
      </c>
      <c r="C15">
        <v>437</v>
      </c>
      <c r="D15">
        <v>440</v>
      </c>
      <c r="E15">
        <v>429</v>
      </c>
      <c r="F15">
        <f>C15-B15</f>
        <v>128</v>
      </c>
      <c r="G15">
        <f>D15-B15</f>
        <v>131</v>
      </c>
      <c r="H15">
        <f>E15-B15</f>
        <v>120</v>
      </c>
    </row>
    <row r="16" spans="1:14" x14ac:dyDescent="0.25">
      <c r="A16" t="s">
        <v>1</v>
      </c>
      <c r="B16">
        <v>15</v>
      </c>
      <c r="C16">
        <v>13.6</v>
      </c>
      <c r="D16">
        <v>13.6</v>
      </c>
      <c r="E16">
        <v>14.2</v>
      </c>
      <c r="F16">
        <f t="shared" ref="F16:F23" si="4">C16-B16</f>
        <v>-1.4000000000000004</v>
      </c>
      <c r="G16">
        <f t="shared" ref="G16:G23" si="5">D16-B16</f>
        <v>-1.4000000000000004</v>
      </c>
      <c r="H16">
        <f t="shared" ref="H16:H23" si="6">E16-B16</f>
        <v>-0.80000000000000071</v>
      </c>
    </row>
    <row r="17" spans="1:8" x14ac:dyDescent="0.25">
      <c r="A17" t="s">
        <v>2</v>
      </c>
      <c r="B17">
        <v>57</v>
      </c>
      <c r="C17">
        <v>81</v>
      </c>
      <c r="D17">
        <v>82.5</v>
      </c>
      <c r="E17">
        <v>78</v>
      </c>
      <c r="F17">
        <f t="shared" si="4"/>
        <v>24</v>
      </c>
      <c r="G17">
        <f t="shared" si="5"/>
        <v>25.5</v>
      </c>
      <c r="H17">
        <v>20</v>
      </c>
    </row>
    <row r="18" spans="1:8" x14ac:dyDescent="0.25">
      <c r="A18" t="s">
        <v>3</v>
      </c>
      <c r="B18">
        <v>1.7</v>
      </c>
      <c r="C18">
        <v>2.6</v>
      </c>
      <c r="D18">
        <v>2.6</v>
      </c>
      <c r="E18">
        <v>1.9</v>
      </c>
      <c r="F18">
        <f t="shared" si="4"/>
        <v>0.90000000000000013</v>
      </c>
      <c r="G18">
        <f t="shared" si="5"/>
        <v>0.90000000000000013</v>
      </c>
      <c r="H18">
        <f t="shared" si="6"/>
        <v>0.19999999999999996</v>
      </c>
    </row>
    <row r="19" spans="1:8" x14ac:dyDescent="0.25">
      <c r="A19" t="s">
        <v>16</v>
      </c>
      <c r="B19">
        <v>0.3</v>
      </c>
      <c r="C19">
        <v>0.5</v>
      </c>
      <c r="D19">
        <v>1.3</v>
      </c>
      <c r="E19">
        <v>0</v>
      </c>
      <c r="F19">
        <f t="shared" si="4"/>
        <v>0.2</v>
      </c>
      <c r="G19">
        <f t="shared" si="5"/>
        <v>1</v>
      </c>
      <c r="H19">
        <f t="shared" si="6"/>
        <v>-0.3</v>
      </c>
    </row>
    <row r="20" spans="1:8" x14ac:dyDescent="0.25">
      <c r="A20" t="s">
        <v>12</v>
      </c>
      <c r="B20">
        <v>200</v>
      </c>
      <c r="C20">
        <v>253</v>
      </c>
      <c r="D20">
        <v>236</v>
      </c>
      <c r="E20">
        <v>252</v>
      </c>
      <c r="F20">
        <f t="shared" si="4"/>
        <v>53</v>
      </c>
      <c r="G20">
        <f t="shared" si="5"/>
        <v>36</v>
      </c>
      <c r="H20">
        <f t="shared" si="6"/>
        <v>52</v>
      </c>
    </row>
    <row r="21" spans="1:8" x14ac:dyDescent="0.25">
      <c r="A21" t="s">
        <v>11</v>
      </c>
      <c r="B21">
        <v>32</v>
      </c>
      <c r="C21">
        <v>30</v>
      </c>
      <c r="D21">
        <v>39</v>
      </c>
      <c r="E21">
        <v>30</v>
      </c>
      <c r="F21">
        <f t="shared" si="4"/>
        <v>-2</v>
      </c>
      <c r="G21">
        <f t="shared" si="5"/>
        <v>7</v>
      </c>
      <c r="H21">
        <f t="shared" si="6"/>
        <v>-2</v>
      </c>
    </row>
    <row r="22" spans="1:8" x14ac:dyDescent="0.25">
      <c r="A22" t="s">
        <v>13</v>
      </c>
      <c r="B22">
        <v>26</v>
      </c>
      <c r="C22">
        <v>24</v>
      </c>
      <c r="D22">
        <v>23</v>
      </c>
      <c r="E22">
        <v>27</v>
      </c>
      <c r="F22">
        <f t="shared" si="4"/>
        <v>-2</v>
      </c>
      <c r="G22">
        <f t="shared" si="5"/>
        <v>-3</v>
      </c>
      <c r="H22">
        <f t="shared" si="6"/>
        <v>1</v>
      </c>
    </row>
    <row r="23" spans="1:8" x14ac:dyDescent="0.25">
      <c r="A23" t="s">
        <v>14</v>
      </c>
      <c r="B23">
        <v>5.8</v>
      </c>
      <c r="C23">
        <v>0</v>
      </c>
      <c r="D23">
        <v>2</v>
      </c>
      <c r="E23">
        <v>1.3</v>
      </c>
      <c r="F23">
        <f t="shared" si="4"/>
        <v>-5.8</v>
      </c>
      <c r="G23">
        <f t="shared" si="5"/>
        <v>-3.8</v>
      </c>
      <c r="H23">
        <f t="shared" si="6"/>
        <v>-4.5</v>
      </c>
    </row>
    <row r="24" spans="1:8" x14ac:dyDescent="0.25">
      <c r="B24">
        <f>SUM(B15:B23)</f>
        <v>646.79999999999995</v>
      </c>
      <c r="C24">
        <f t="shared" ref="C24:E24" si="7">SUM(C15:C23)</f>
        <v>841.7</v>
      </c>
      <c r="D24">
        <f t="shared" si="7"/>
        <v>840</v>
      </c>
      <c r="E24">
        <f t="shared" si="7"/>
        <v>833.4</v>
      </c>
      <c r="F24">
        <f>SUM(F15:F23)</f>
        <v>194.89999999999998</v>
      </c>
      <c r="G24">
        <f t="shared" ref="G24:H24" si="8">SUM(G15:G23)</f>
        <v>193.2</v>
      </c>
      <c r="H24">
        <f t="shared" si="8"/>
        <v>185.59999999999997</v>
      </c>
    </row>
  </sheetData>
  <mergeCells count="2">
    <mergeCell ref="A2:D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2026-10-07T11:55:30Z</dcterms:created>
  <dcterms:modified xsi:type="dcterms:W3CDTF">2026-10-08T09:35:44Z</dcterms:modified>
</cp:coreProperties>
</file>